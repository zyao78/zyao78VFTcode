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VFT\VFT_github\zyao78VFTcode\raw-data\"/>
    </mc:Choice>
  </mc:AlternateContent>
  <xr:revisionPtr revIDLastSave="0" documentId="13_ncr:1_{486A52A2-803C-4542-9084-A780D15DF237}" xr6:coauthVersionLast="47" xr6:coauthVersionMax="47" xr10:uidLastSave="{00000000-0000-0000-0000-000000000000}"/>
  <bookViews>
    <workbookView xWindow="-98" yWindow="-98" windowWidth="23236" windowHeight="13875" activeTab="3" xr2:uid="{00000000-000D-0000-FFFF-FFFF00000000}"/>
  </bookViews>
  <sheets>
    <sheet name="Croatan" sheetId="1" r:id="rId1"/>
    <sheet name="Lejeune" sheetId="2" r:id="rId2"/>
    <sheet name="Bragg" sheetId="3" r:id="rId3"/>
    <sheet name="Green Swamp Preserv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8" i="1"/>
  <c r="J2" i="3"/>
  <c r="K8" i="1"/>
  <c r="L7" i="2"/>
  <c r="H4" i="2"/>
  <c r="J2" i="1"/>
  <c r="I7" i="2"/>
  <c r="J7" i="2"/>
  <c r="K7" i="2"/>
  <c r="H7" i="2"/>
  <c r="I4" i="2"/>
  <c r="J4" i="2"/>
  <c r="K4" i="2"/>
  <c r="L4" i="2"/>
  <c r="L2" i="2"/>
  <c r="H3" i="2"/>
  <c r="H5" i="2"/>
  <c r="H6" i="2"/>
  <c r="L3" i="2"/>
  <c r="L5" i="2"/>
  <c r="L6" i="2"/>
  <c r="H2" i="2"/>
  <c r="E8" i="1"/>
  <c r="N3" i="3"/>
  <c r="M3" i="3"/>
  <c r="O3" i="3" s="1"/>
  <c r="I3" i="3"/>
  <c r="H3" i="3"/>
  <c r="J3" i="3"/>
  <c r="N2" i="3"/>
  <c r="O2" i="3" s="1"/>
  <c r="M2" i="3"/>
  <c r="H2" i="3"/>
  <c r="I2" i="3"/>
  <c r="E11" i="1"/>
  <c r="E12" i="1"/>
  <c r="E9" i="1"/>
  <c r="E6" i="1"/>
  <c r="E3" i="1"/>
  <c r="E5" i="1"/>
  <c r="E2" i="1"/>
</calcChain>
</file>

<file path=xl/sharedStrings.xml><?xml version="1.0" encoding="utf-8"?>
<sst xmlns="http://schemas.openxmlformats.org/spreadsheetml/2006/main" count="48" uniqueCount="33">
  <si>
    <t>deg</t>
  </si>
  <si>
    <t>min</t>
  </si>
  <si>
    <t>dec deg</t>
  </si>
  <si>
    <t>Millis</t>
  </si>
  <si>
    <t>N</t>
  </si>
  <si>
    <t>W</t>
  </si>
  <si>
    <t>Hibbs</t>
  </si>
  <si>
    <t>N34.76748,W76.87353</t>
  </si>
  <si>
    <t>N34.76687, W76.87438</t>
  </si>
  <si>
    <t xml:space="preserve">ME north 34°38'38.0" 077°28'13.5" </t>
  </si>
  <si>
    <t xml:space="preserve">ME south 34°38'36.7" 077°28'13.8" </t>
  </si>
  <si>
    <t>Site name</t>
  </si>
  <si>
    <t>X utm</t>
  </si>
  <si>
    <t>Y utm</t>
  </si>
  <si>
    <t>Latitude</t>
  </si>
  <si>
    <t>Longitude</t>
  </si>
  <si>
    <t>Bragg 1</t>
  </si>
  <si>
    <t>35  8' 46.9</t>
  </si>
  <si>
    <t>79  12'  36.9"</t>
  </si>
  <si>
    <t>Bragg 2</t>
  </si>
  <si>
    <t>35 8' 46.5"</t>
  </si>
  <si>
    <t>79  11' 56.69"</t>
  </si>
  <si>
    <t xml:space="preserve">Corrections: </t>
  </si>
  <si>
    <t>Big Island:</t>
  </si>
  <si>
    <t>start</t>
  </si>
  <si>
    <t>end</t>
  </si>
  <si>
    <t>GET IN 2019!!!</t>
  </si>
  <si>
    <t>Little Island</t>
  </si>
  <si>
    <t>N34.08200 W78.29991</t>
  </si>
  <si>
    <t>N34.08546 W78.30196 elev9ft</t>
    <phoneticPr fontId="2" type="noConversion"/>
  </si>
  <si>
    <t>N34.08197 W78.29999</t>
    <phoneticPr fontId="2" type="noConversion"/>
  </si>
  <si>
    <t xml:space="preserve">IA west 34°35'29.7" 077°18'32.1" </t>
    <phoneticPr fontId="2" type="noConversion"/>
  </si>
  <si>
    <t>IA east 34°35'29.4" 077°18'31.3"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</si>
</sst>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 x14ac:knownFonts="1">
    <font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K8" sqref="K8"/>
    </sheetView>
  </sheetViews>
  <sheetFormatPr defaultRowHeight="13.5" x14ac:dyDescent="0.3"/>
  <cols>
    <col min="2" max="2" width="2.86328125" bestFit="1" customWidth="1"/>
    <col min="5" max="5" width="10.3984375" customWidth="1"/>
    <col min="6" max="6" width="9.1328125" bestFit="1" customWidth="1"/>
    <col min="10" max="10" width="13.265625" customWidth="1"/>
    <col min="11" max="11" width="19.1328125" customWidth="1"/>
  </cols>
  <sheetData>
    <row r="1" spans="1:11" x14ac:dyDescent="0.3">
      <c r="C1" t="s">
        <v>0</v>
      </c>
      <c r="D1" t="s">
        <v>1</v>
      </c>
      <c r="E1" t="s">
        <v>2</v>
      </c>
    </row>
    <row r="2" spans="1:11" x14ac:dyDescent="0.3">
      <c r="A2" t="s">
        <v>3</v>
      </c>
      <c r="B2" t="s">
        <v>4</v>
      </c>
      <c r="C2">
        <v>34</v>
      </c>
      <c r="D2">
        <v>46.021999999999998</v>
      </c>
      <c r="E2">
        <f>C2+D2/60</f>
        <v>34.76703333333333</v>
      </c>
      <c r="F2">
        <v>34.76703333333333</v>
      </c>
      <c r="I2">
        <f>(E2+E5)/2</f>
        <v>34.766016666666665</v>
      </c>
      <c r="J2">
        <f>(F3+F6)/2</f>
        <v>76.974258333333353</v>
      </c>
    </row>
    <row r="3" spans="1:11" x14ac:dyDescent="0.3">
      <c r="B3" t="s">
        <v>5</v>
      </c>
      <c r="C3">
        <v>76</v>
      </c>
      <c r="D3">
        <v>58.432000000000002</v>
      </c>
      <c r="E3">
        <f>-(C3+D3/60)</f>
        <v>-76.973866666666666</v>
      </c>
      <c r="F3">
        <v>76.973866666666694</v>
      </c>
    </row>
    <row r="5" spans="1:11" x14ac:dyDescent="0.3">
      <c r="B5" t="s">
        <v>4</v>
      </c>
      <c r="C5">
        <v>34</v>
      </c>
      <c r="D5">
        <v>45.9</v>
      </c>
      <c r="E5">
        <f>C5+D5/60</f>
        <v>34.765000000000001</v>
      </c>
      <c r="F5">
        <v>34.765000000000001</v>
      </c>
    </row>
    <row r="6" spans="1:11" x14ac:dyDescent="0.3">
      <c r="B6" t="s">
        <v>5</v>
      </c>
      <c r="C6">
        <v>76</v>
      </c>
      <c r="D6">
        <v>58.478999999999999</v>
      </c>
      <c r="E6">
        <f>-(C6+D6/60)</f>
        <v>-76.974649999999997</v>
      </c>
      <c r="F6">
        <v>76.974649999999997</v>
      </c>
    </row>
    <row r="8" spans="1:11" x14ac:dyDescent="0.3">
      <c r="A8" t="s">
        <v>6</v>
      </c>
      <c r="B8" t="s">
        <v>4</v>
      </c>
      <c r="C8">
        <v>34</v>
      </c>
      <c r="D8">
        <v>46.048999999999999</v>
      </c>
      <c r="E8">
        <f>C8+D8/60</f>
        <v>34.767483333333331</v>
      </c>
      <c r="F8" s="3"/>
      <c r="G8" t="s">
        <v>7</v>
      </c>
      <c r="J8">
        <f>(E8+E11)/2</f>
        <v>34.767174999999995</v>
      </c>
      <c r="K8">
        <f>(E9+E12)/2</f>
        <v>-76.87395833333332</v>
      </c>
    </row>
    <row r="9" spans="1:11" x14ac:dyDescent="0.3">
      <c r="B9" t="s">
        <v>5</v>
      </c>
      <c r="C9">
        <v>76</v>
      </c>
      <c r="D9">
        <v>52.411999999999999</v>
      </c>
      <c r="E9">
        <f>-(C9+D9/60)</f>
        <v>-76.873533333333327</v>
      </c>
    </row>
    <row r="11" spans="1:11" x14ac:dyDescent="0.3">
      <c r="B11" t="s">
        <v>4</v>
      </c>
      <c r="C11">
        <v>34</v>
      </c>
      <c r="D11">
        <v>46.012</v>
      </c>
      <c r="E11">
        <f>C11+D11/60</f>
        <v>34.766866666666665</v>
      </c>
      <c r="G11" t="s">
        <v>8</v>
      </c>
    </row>
    <row r="12" spans="1:11" x14ac:dyDescent="0.3">
      <c r="B12" t="s">
        <v>5</v>
      </c>
      <c r="C12">
        <v>76</v>
      </c>
      <c r="D12">
        <v>52.463000000000001</v>
      </c>
      <c r="E12">
        <f>-(C12+D12/60)</f>
        <v>-76.874383333333327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A6" sqref="A6"/>
    </sheetView>
  </sheetViews>
  <sheetFormatPr defaultRowHeight="13.5" x14ac:dyDescent="0.3"/>
  <cols>
    <col min="8" max="8" width="8.86328125" style="2"/>
    <col min="12" max="12" width="8.86328125" style="2"/>
  </cols>
  <sheetData>
    <row r="1" spans="1:12" x14ac:dyDescent="0.3">
      <c r="H1" s="2" t="s">
        <v>4</v>
      </c>
      <c r="L1" s="2" t="s">
        <v>5</v>
      </c>
    </row>
    <row r="2" spans="1:12" ht="15.4" x14ac:dyDescent="0.45">
      <c r="A2" s="1" t="s">
        <v>9</v>
      </c>
      <c r="E2">
        <v>34</v>
      </c>
      <c r="F2">
        <v>38</v>
      </c>
      <c r="G2">
        <v>38</v>
      </c>
      <c r="H2" s="2">
        <f>E2+(F2/60)+(G2/3600)</f>
        <v>34.643888888888888</v>
      </c>
      <c r="I2">
        <v>77</v>
      </c>
      <c r="J2">
        <v>28</v>
      </c>
      <c r="K2">
        <v>13.5</v>
      </c>
      <c r="L2" s="2">
        <f>I2+(J2/60)+(K2/3600)</f>
        <v>77.470416666666665</v>
      </c>
    </row>
    <row r="3" spans="1:12" ht="15.4" x14ac:dyDescent="0.45">
      <c r="A3" s="1" t="s">
        <v>10</v>
      </c>
      <c r="E3">
        <v>34</v>
      </c>
      <c r="F3">
        <v>38</v>
      </c>
      <c r="G3">
        <v>36.700000000000003</v>
      </c>
      <c r="H3" s="2">
        <f t="shared" ref="H3:H6" si="0">E3+(F3/60)+(G3/3600)</f>
        <v>34.643527777777777</v>
      </c>
      <c r="I3">
        <v>77</v>
      </c>
      <c r="J3">
        <v>28</v>
      </c>
      <c r="K3">
        <v>13.8</v>
      </c>
      <c r="L3" s="2">
        <f t="shared" ref="L3:L6" si="1">I3+(J3/60)+(K3/3600)</f>
        <v>77.470500000000001</v>
      </c>
    </row>
    <row r="4" spans="1:12" x14ac:dyDescent="0.3">
      <c r="H4" s="2">
        <f>(H2+H3)/2</f>
        <v>34.643708333333336</v>
      </c>
      <c r="I4" s="2">
        <f t="shared" ref="I4:L4" si="2">(I2+I3)/2</f>
        <v>77</v>
      </c>
      <c r="J4" s="2">
        <f t="shared" si="2"/>
        <v>28</v>
      </c>
      <c r="K4" s="2">
        <f t="shared" si="2"/>
        <v>13.65</v>
      </c>
      <c r="L4" s="2">
        <f t="shared" si="2"/>
        <v>77.47045833333334</v>
      </c>
    </row>
    <row r="5" spans="1:12" ht="15.4" x14ac:dyDescent="0.45">
      <c r="A5" s="1" t="s">
        <v>31</v>
      </c>
      <c r="E5">
        <v>34</v>
      </c>
      <c r="F5">
        <v>35</v>
      </c>
      <c r="G5">
        <v>29.7</v>
      </c>
      <c r="H5" s="2">
        <f t="shared" si="0"/>
        <v>34.591583333333332</v>
      </c>
      <c r="I5">
        <v>77</v>
      </c>
      <c r="J5">
        <v>18</v>
      </c>
      <c r="K5">
        <v>32.1</v>
      </c>
      <c r="L5" s="2">
        <f t="shared" si="1"/>
        <v>77.308916666666661</v>
      </c>
    </row>
    <row r="6" spans="1:12" ht="15.4" x14ac:dyDescent="0.45">
      <c r="A6" s="1" t="s">
        <v>32</v>
      </c>
      <c r="E6">
        <v>34</v>
      </c>
      <c r="F6">
        <v>35</v>
      </c>
      <c r="G6">
        <v>29.4</v>
      </c>
      <c r="H6" s="2">
        <f t="shared" si="0"/>
        <v>34.591500000000003</v>
      </c>
      <c r="I6">
        <v>77</v>
      </c>
      <c r="J6">
        <v>18</v>
      </c>
      <c r="K6">
        <v>31.3</v>
      </c>
      <c r="L6" s="2">
        <f t="shared" si="1"/>
        <v>77.308694444444441</v>
      </c>
    </row>
    <row r="7" spans="1:12" x14ac:dyDescent="0.3">
      <c r="H7" s="2">
        <f>(H5+H6)/2</f>
        <v>34.591541666666672</v>
      </c>
      <c r="I7" s="2">
        <f t="shared" ref="I7:L7" si="3">(I5+I6)/2</f>
        <v>77</v>
      </c>
      <c r="J7" s="2">
        <f t="shared" si="3"/>
        <v>18</v>
      </c>
      <c r="K7" s="2">
        <f t="shared" si="3"/>
        <v>31.700000000000003</v>
      </c>
      <c r="L7" s="2">
        <f t="shared" si="3"/>
        <v>77.308805555555551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>
      <selection activeCell="O3" sqref="O3"/>
    </sheetView>
  </sheetViews>
  <sheetFormatPr defaultRowHeight="13.5" x14ac:dyDescent="0.3"/>
  <cols>
    <col min="1" max="1" width="9.86328125" bestFit="1" customWidth="1"/>
    <col min="4" max="4" width="13.265625" customWidth="1"/>
    <col min="11" max="11" width="3.3984375" customWidth="1"/>
    <col min="12" max="12" width="6.265625" customWidth="1"/>
  </cols>
  <sheetData>
    <row r="1" spans="1:1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J1" s="2" t="s">
        <v>4</v>
      </c>
      <c r="O1" s="2" t="s">
        <v>5</v>
      </c>
    </row>
    <row r="2" spans="1:15" x14ac:dyDescent="0.3">
      <c r="A2" t="s">
        <v>16</v>
      </c>
      <c r="B2">
        <v>663035.33510300005</v>
      </c>
      <c r="C2">
        <v>3890743.4537</v>
      </c>
      <c r="D2" t="s">
        <v>17</v>
      </c>
      <c r="E2" t="s">
        <v>18</v>
      </c>
      <c r="G2">
        <v>35</v>
      </c>
      <c r="H2">
        <f>8/60</f>
        <v>0.13333333333333333</v>
      </c>
      <c r="I2">
        <f>46.9/3600</f>
        <v>1.3027777777777777E-2</v>
      </c>
      <c r="J2" s="2">
        <f>SUM(G2:I2)</f>
        <v>35.146361111111112</v>
      </c>
      <c r="L2">
        <v>79</v>
      </c>
      <c r="M2">
        <f>12/60</f>
        <v>0.2</v>
      </c>
      <c r="N2">
        <f>36.9/3600</f>
        <v>1.025E-2</v>
      </c>
      <c r="O2" s="2">
        <f>SUM(L2:N2)</f>
        <v>79.210250000000002</v>
      </c>
    </row>
    <row r="3" spans="1:15" x14ac:dyDescent="0.3">
      <c r="A3" t="s">
        <v>19</v>
      </c>
      <c r="B3">
        <v>664053.28538899997</v>
      </c>
      <c r="C3">
        <v>3890735.2415700001</v>
      </c>
      <c r="D3" t="s">
        <v>20</v>
      </c>
      <c r="E3" t="s">
        <v>21</v>
      </c>
      <c r="G3">
        <v>35</v>
      </c>
      <c r="H3">
        <f>8/60</f>
        <v>0.13333333333333333</v>
      </c>
      <c r="I3">
        <f>46.5/3600</f>
        <v>1.2916666666666667E-2</v>
      </c>
      <c r="J3" s="2">
        <f>SUM(G3:I3)</f>
        <v>35.146250000000002</v>
      </c>
      <c r="L3">
        <v>79</v>
      </c>
      <c r="M3">
        <f>11/60</f>
        <v>0.18333333333333332</v>
      </c>
      <c r="N3">
        <f>56.69/3600</f>
        <v>1.5747222222222221E-2</v>
      </c>
      <c r="O3" s="2">
        <f>SUM(L3:N3)</f>
        <v>79.199080555555554</v>
      </c>
    </row>
    <row r="6" spans="1:15" x14ac:dyDescent="0.3">
      <c r="A6" t="s">
        <v>22</v>
      </c>
      <c r="C6" t="s">
        <v>4</v>
      </c>
      <c r="D6" t="s">
        <v>5</v>
      </c>
    </row>
    <row r="7" spans="1:15" x14ac:dyDescent="0.3">
      <c r="A7" t="s">
        <v>19</v>
      </c>
      <c r="C7">
        <v>35.146410000000003</v>
      </c>
      <c r="D7">
        <v>79.199095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5"/>
  <sheetViews>
    <sheetView tabSelected="1" workbookViewId="0">
      <selection activeCell="C4" sqref="C4"/>
    </sheetView>
  </sheetViews>
  <sheetFormatPr defaultRowHeight="13.5" x14ac:dyDescent="0.3"/>
  <cols>
    <col min="1" max="1" width="9.59765625" bestFit="1" customWidth="1"/>
  </cols>
  <sheetData>
    <row r="2" spans="1:4" x14ac:dyDescent="0.3">
      <c r="A2" t="s">
        <v>23</v>
      </c>
      <c r="B2" t="s">
        <v>24</v>
      </c>
      <c r="C2" t="s">
        <v>29</v>
      </c>
    </row>
    <row r="3" spans="1:4" x14ac:dyDescent="0.3">
      <c r="B3" t="s">
        <v>25</v>
      </c>
      <c r="C3" s="2" t="s">
        <v>26</v>
      </c>
      <c r="D3" s="2"/>
    </row>
    <row r="4" spans="1:4" x14ac:dyDescent="0.3">
      <c r="A4" t="s">
        <v>27</v>
      </c>
      <c r="B4" t="s">
        <v>24</v>
      </c>
      <c r="C4" t="s">
        <v>30</v>
      </c>
    </row>
    <row r="5" spans="1:4" x14ac:dyDescent="0.3">
      <c r="B5" t="s">
        <v>25</v>
      </c>
      <c r="C5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Croatan</vt:lpstr>
      <vt:lpstr>Lejeune</vt:lpstr>
      <vt:lpstr>Bragg</vt:lpstr>
      <vt:lpstr>Green Swamp Preserve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F Morris</dc:creator>
  <cp:keywords/>
  <dc:description/>
  <cp:lastModifiedBy>Zheng Yao</cp:lastModifiedBy>
  <cp:revision/>
  <dcterms:created xsi:type="dcterms:W3CDTF">2016-05-03T20:30:43Z</dcterms:created>
  <dcterms:modified xsi:type="dcterms:W3CDTF">2025-10-08T21:18:32Z</dcterms:modified>
  <cp:category/>
  <cp:contentStatus/>
</cp:coreProperties>
</file>